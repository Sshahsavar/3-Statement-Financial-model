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Income Statement" sheetId="2" state="visible" r:id="rId2"/>
    <sheet xmlns:r="http://schemas.openxmlformats.org/officeDocument/2006/relationships" name="Balance Sheet" sheetId="3" state="visible" r:id="rId3"/>
    <sheet xmlns:r="http://schemas.openxmlformats.org/officeDocument/2006/relationships" name="Cash Flow Statement" sheetId="4" state="visible" r:id="rId4"/>
    <sheet xmlns:r="http://schemas.openxmlformats.org/officeDocument/2006/relationships" name="Debt Schedule" sheetId="5" state="visible" r:id="rId5"/>
    <sheet xmlns:r="http://schemas.openxmlformats.org/officeDocument/2006/relationships" name="DCF Valu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Calibri"/>
      <family val="2"/>
      <color theme="1"/>
      <sz val="11"/>
      <scheme val="minor"/>
    </font>
    <font>
      <b val="1"/>
    </font>
    <font>
      <color rgb="000000FF"/>
    </font>
    <font>
      <color rgb="00000000"/>
    </font>
    <font>
      <color rgb="00008000"/>
    </font>
    <font>
      <b val="1"/>
      <sz val="14"/>
    </font>
  </fonts>
  <fills count="5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DDEBF7"/>
        <bgColor rgb="00DDEBF7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5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164" fontId="4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3" borderId="0" pivotButton="0" quotePrefix="0" xfId="0"/>
    <xf numFmtId="0" fontId="1" fillId="4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Tractor Supply Company (TSCO) - Financial Analysis</t>
        </is>
      </c>
    </row>
    <row r="3">
      <c r="A3" s="2" t="inlineStr">
        <is>
          <t>Current Market Price (Live):</t>
        </is>
      </c>
      <c r="B3" s="3" t="n">
        <v>31.21999931335449</v>
      </c>
    </row>
    <row r="4">
      <c r="A4" s="2" t="inlineStr">
        <is>
          <t>Implied Target Price (Blended DCF):</t>
        </is>
      </c>
      <c r="B4" s="4">
        <f>'DCF Valuation'!C55</f>
        <v/>
      </c>
    </row>
    <row r="6">
      <c r="A6" s="2" t="inlineStr">
        <is>
          <t>Recommendation:</t>
        </is>
      </c>
      <c r="B6" s="5">
        <f>IF(B4 &gt; B3*1.1, "STRONG BUY", IF(B4 &gt; B3, "BUY", IF(B4 &lt; B3*0.9, "SELL", "HOLD")))</f>
        <v/>
      </c>
    </row>
    <row r="8">
      <c r="A8" s="2" t="inlineStr">
        <is>
          <t>Key Investment Drivers:</t>
        </is>
      </c>
    </row>
    <row r="9">
      <c r="A9" t="inlineStr">
        <is>
          <t>1. Top-Line Growth: Revenue projected at a conservative 5.0% CAGR through 2030E.</t>
        </is>
      </c>
    </row>
    <row r="10">
      <c r="A10" t="inlineStr">
        <is>
          <t>2. Margin Stability: Gross margins modeled flat at 35.0% with SG&amp;A optimized at 23.0%.</t>
        </is>
      </c>
    </row>
    <row r="11">
      <c r="A11" t="inlineStr">
        <is>
          <t>3. Valuation Derivation: Utilized CAPM to structure a dynamic WACC, cross-checked with a 14.0x EV/EBITDA exit multiple.</t>
        </is>
      </c>
    </row>
    <row r="13">
      <c r="A13" s="2" t="inlineStr">
        <is>
          <t>Simplifying Assumptions &amp; Limitations:</t>
        </is>
      </c>
    </row>
    <row r="14">
      <c r="A14" t="inlineStr">
        <is>
          <t>1. Share Count vs. Buybacks: Modeled $600M annual share repurchases as a cash outflow, but held shares outstanding constant for valuation to avoid artificial EPS accretion.</t>
        </is>
      </c>
    </row>
    <row r="15">
      <c r="A15" t="inlineStr">
        <is>
          <t>2. Aggressive Deleverage: Modeled a 100% cash sweep for balances over $200M, preventing cash accumulation on the Balance Sheet in favor of zero-debt.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Line Item</t>
        </is>
      </c>
      <c r="B1" s="2" t="inlineStr">
        <is>
          <t>2021</t>
        </is>
      </c>
      <c r="C1" s="2" t="inlineStr">
        <is>
          <t>2022</t>
        </is>
      </c>
      <c r="D1" s="2" t="inlineStr">
        <is>
          <t>2023</t>
        </is>
      </c>
      <c r="E1" s="2" t="inlineStr">
        <is>
          <t>2024</t>
        </is>
      </c>
      <c r="F1" s="2" t="inlineStr">
        <is>
          <t>2025</t>
        </is>
      </c>
      <c r="G1" s="2" t="inlineStr">
        <is>
          <t>2026E</t>
        </is>
      </c>
      <c r="H1" s="2" t="inlineStr">
        <is>
          <t>2027E</t>
        </is>
      </c>
      <c r="I1" s="2" t="inlineStr">
        <is>
          <t>2028E</t>
        </is>
      </c>
      <c r="J1" s="2" t="inlineStr">
        <is>
          <t>2029E</t>
        </is>
      </c>
      <c r="K1" s="2" t="inlineStr">
        <is>
          <t>2030E</t>
        </is>
      </c>
    </row>
    <row r="2">
      <c r="A2" t="inlineStr">
        <is>
          <t>Total Revenue</t>
        </is>
      </c>
      <c r="B2" t="n">
        <v/>
      </c>
      <c r="C2" s="6" t="n">
        <v>14204717000</v>
      </c>
      <c r="D2" s="6" t="n">
        <v>14555741000</v>
      </c>
      <c r="E2" s="6" t="n">
        <v>14883231000</v>
      </c>
      <c r="F2" s="6" t="n">
        <v>15524046000</v>
      </c>
      <c r="G2" s="7">
        <f>F2*(1+G12)</f>
        <v/>
      </c>
      <c r="H2" s="7">
        <f>G2*(1+H12)</f>
        <v/>
      </c>
      <c r="I2" s="7">
        <f>H2*(1+I12)</f>
        <v/>
      </c>
      <c r="J2" s="7">
        <f>I2*(1+J12)</f>
        <v/>
      </c>
      <c r="K2" s="7">
        <f>J2*(1+K12)</f>
        <v/>
      </c>
    </row>
    <row r="3">
      <c r="A3" t="inlineStr">
        <is>
          <t>Cost Of Revenue</t>
        </is>
      </c>
      <c r="B3" t="n">
        <v/>
      </c>
      <c r="C3" s="6" t="n">
        <v>9232513000</v>
      </c>
      <c r="D3" s="6" t="n">
        <v>9327522000</v>
      </c>
      <c r="E3" s="6" t="n">
        <v>9486674000</v>
      </c>
      <c r="F3" s="6" t="n">
        <v>9869538000</v>
      </c>
      <c r="G3" s="7">
        <f>G2*(1-G13)</f>
        <v/>
      </c>
      <c r="H3" s="7">
        <f>H2*(1-H13)</f>
        <v/>
      </c>
      <c r="I3" s="7">
        <f>I2*(1-I13)</f>
        <v/>
      </c>
      <c r="J3" s="7">
        <f>J2*(1-J13)</f>
        <v/>
      </c>
      <c r="K3" s="7">
        <f>K2*(1-K13)</f>
        <v/>
      </c>
    </row>
    <row r="4">
      <c r="A4" t="inlineStr">
        <is>
          <t>Gross Profit</t>
        </is>
      </c>
      <c r="B4" t="n">
        <v/>
      </c>
      <c r="C4" s="6" t="n">
        <v>4972204000</v>
      </c>
      <c r="D4" s="6" t="n">
        <v>5228219000</v>
      </c>
      <c r="E4" s="6" t="n">
        <v>5396557000</v>
      </c>
      <c r="F4" s="6" t="n">
        <v>5654508000</v>
      </c>
      <c r="G4" s="7">
        <f>G2-G3</f>
        <v/>
      </c>
      <c r="H4" s="7">
        <f>H2-H3</f>
        <v/>
      </c>
      <c r="I4" s="7">
        <f>I2-I3</f>
        <v/>
      </c>
      <c r="J4" s="7">
        <f>J2-J3</f>
        <v/>
      </c>
      <c r="K4" s="7">
        <f>K2-K3</f>
        <v/>
      </c>
    </row>
    <row r="5">
      <c r="A5" t="inlineStr">
        <is>
          <t>Selling General And Administration</t>
        </is>
      </c>
      <c r="B5" t="n">
        <v/>
      </c>
      <c r="C5" s="6" t="n">
        <v>3194199000</v>
      </c>
      <c r="D5" s="6" t="n">
        <v>3356258000</v>
      </c>
      <c r="E5" s="6" t="n">
        <v>3481863000</v>
      </c>
      <c r="F5" s="6" t="n">
        <v>3693108000</v>
      </c>
      <c r="G5" s="7">
        <f>G2*G14</f>
        <v/>
      </c>
      <c r="H5" s="7">
        <f>H2*H14</f>
        <v/>
      </c>
      <c r="I5" s="7">
        <f>I2*I14</f>
        <v/>
      </c>
      <c r="J5" s="7">
        <f>J2*J14</f>
        <v/>
      </c>
      <c r="K5" s="7">
        <f>K2*K14</f>
        <v/>
      </c>
    </row>
    <row r="6">
      <c r="A6" t="inlineStr">
        <is>
          <t>Operating Income</t>
        </is>
      </c>
      <c r="B6" t="n">
        <v/>
      </c>
      <c r="C6" s="6" t="n">
        <v>1434943000</v>
      </c>
      <c r="D6" s="6" t="n">
        <v>1478912000</v>
      </c>
      <c r="E6" s="6" t="n">
        <v>1467532000</v>
      </c>
      <c r="F6" s="6" t="n">
        <v>1467389000</v>
      </c>
      <c r="G6" s="7">
        <f>G4-G5</f>
        <v/>
      </c>
      <c r="H6" s="7">
        <f>H4-H5</f>
        <v/>
      </c>
      <c r="I6" s="7">
        <f>I4-I5</f>
        <v/>
      </c>
      <c r="J6" s="7">
        <f>J4-J5</f>
        <v/>
      </c>
      <c r="K6" s="7">
        <f>K4-K5</f>
        <v/>
      </c>
    </row>
    <row r="7">
      <c r="A7" t="inlineStr">
        <is>
          <t>Interest Expense</t>
        </is>
      </c>
      <c r="B7" t="n">
        <v/>
      </c>
      <c r="C7" s="6" t="n">
        <v>30633000</v>
      </c>
      <c r="D7" s="6" t="n">
        <v>46510000</v>
      </c>
      <c r="E7" s="6" t="n">
        <v>54592000</v>
      </c>
      <c r="F7" s="6" t="n">
        <v>69144000</v>
      </c>
      <c r="G7" s="8">
        <f>'Debt Schedule'!G14*'Debt Schedule'!G4</f>
        <v/>
      </c>
      <c r="H7" s="8">
        <f>'Debt Schedule'!H14*'Debt Schedule'!H4</f>
        <v/>
      </c>
      <c r="I7" s="8">
        <f>'Debt Schedule'!I14*'Debt Schedule'!I4</f>
        <v/>
      </c>
      <c r="J7" s="8">
        <f>'Debt Schedule'!J14*'Debt Schedule'!J4</f>
        <v/>
      </c>
      <c r="K7" s="8">
        <f>'Debt Schedule'!K14*'Debt Schedule'!K4</f>
        <v/>
      </c>
    </row>
    <row r="8">
      <c r="A8" t="inlineStr">
        <is>
          <t>Tax Provision</t>
        </is>
      </c>
      <c r="B8" t="n">
        <v/>
      </c>
      <c r="C8" s="6" t="n">
        <v>315598000</v>
      </c>
      <c r="D8" s="6" t="n">
        <v>325176000</v>
      </c>
      <c r="E8" s="6" t="n">
        <v>311700000</v>
      </c>
      <c r="F8" s="6" t="n">
        <v>302158000</v>
      </c>
      <c r="G8" s="7">
        <f>(G6-G7)*G15</f>
        <v/>
      </c>
      <c r="H8" s="7">
        <f>(H6-H7)*H15</f>
        <v/>
      </c>
      <c r="I8" s="7">
        <f>(I6-I7)*I15</f>
        <v/>
      </c>
      <c r="J8" s="7">
        <f>(J6-J7)*J15</f>
        <v/>
      </c>
      <c r="K8" s="7">
        <f>(K6-K7)*K15</f>
        <v/>
      </c>
    </row>
    <row r="9">
      <c r="A9" t="inlineStr">
        <is>
          <t>Net Income</t>
        </is>
      </c>
      <c r="B9" t="n">
        <v/>
      </c>
      <c r="C9" s="6" t="n">
        <v>1088712000</v>
      </c>
      <c r="D9" s="6" t="n">
        <v>1107226000</v>
      </c>
      <c r="E9" s="6" t="n">
        <v>1101240000</v>
      </c>
      <c r="F9" s="6" t="n">
        <v>1096087000</v>
      </c>
      <c r="G9" s="7">
        <f>G6-G7-G8</f>
        <v/>
      </c>
      <c r="H9" s="7">
        <f>H6-H7-H8</f>
        <v/>
      </c>
      <c r="I9" s="7">
        <f>I6-I7-I8</f>
        <v/>
      </c>
      <c r="J9" s="7">
        <f>J6-J7-J8</f>
        <v/>
      </c>
      <c r="K9" s="7">
        <f>K6-K7-K8</f>
        <v/>
      </c>
    </row>
    <row r="11">
      <c r="A11" s="2" t="inlineStr">
        <is>
          <t>ASSUMPTIONS</t>
        </is>
      </c>
    </row>
    <row r="12">
      <c r="A12" t="inlineStr">
        <is>
          <t>Revenue Growth (%)</t>
        </is>
      </c>
      <c r="G12" s="6" t="n">
        <v>0.05</v>
      </c>
      <c r="H12" s="6" t="n">
        <v>0.05</v>
      </c>
      <c r="I12" s="6" t="n">
        <v>0.05</v>
      </c>
      <c r="J12" s="6" t="n">
        <v>0.05</v>
      </c>
      <c r="K12" s="6" t="n">
        <v>0.05</v>
      </c>
    </row>
    <row r="13">
      <c r="A13" t="inlineStr">
        <is>
          <t>Gross Margin (%)</t>
        </is>
      </c>
      <c r="G13" s="6" t="n">
        <v>0.35</v>
      </c>
      <c r="H13" s="6" t="n">
        <v>0.35</v>
      </c>
      <c r="I13" s="6" t="n">
        <v>0.35</v>
      </c>
      <c r="J13" s="6" t="n">
        <v>0.35</v>
      </c>
      <c r="K13" s="6" t="n">
        <v>0.35</v>
      </c>
    </row>
    <row r="14">
      <c r="A14" t="inlineStr">
        <is>
          <t>SG&amp;A Margin (%)</t>
        </is>
      </c>
      <c r="G14" s="6" t="n">
        <v>0.23</v>
      </c>
      <c r="H14" s="6" t="n">
        <v>0.23</v>
      </c>
      <c r="I14" s="6" t="n">
        <v>0.23</v>
      </c>
      <c r="J14" s="6" t="n">
        <v>0.23</v>
      </c>
      <c r="K14" s="6" t="n">
        <v>0.23</v>
      </c>
    </row>
    <row r="15">
      <c r="A15" t="inlineStr">
        <is>
          <t>Effective Tax Rate (%)</t>
        </is>
      </c>
      <c r="G15" s="6" t="n">
        <v>0.24</v>
      </c>
      <c r="H15" s="6" t="n">
        <v>0.24</v>
      </c>
      <c r="I15" s="6" t="n">
        <v>0.24</v>
      </c>
      <c r="J15" s="6" t="n">
        <v>0.24</v>
      </c>
      <c r="K15" s="6" t="n">
        <v>0.24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Line Item</t>
        </is>
      </c>
      <c r="B1" s="2" t="inlineStr">
        <is>
          <t>2021</t>
        </is>
      </c>
      <c r="C1" s="2" t="inlineStr">
        <is>
          <t>2022</t>
        </is>
      </c>
      <c r="D1" s="2" t="inlineStr">
        <is>
          <t>2023</t>
        </is>
      </c>
      <c r="E1" s="2" t="inlineStr">
        <is>
          <t>2024</t>
        </is>
      </c>
      <c r="F1" s="2" t="inlineStr">
        <is>
          <t>2025</t>
        </is>
      </c>
      <c r="G1" s="2" t="inlineStr">
        <is>
          <t>2026E</t>
        </is>
      </c>
      <c r="H1" s="2" t="inlineStr">
        <is>
          <t>2027E</t>
        </is>
      </c>
      <c r="I1" s="2" t="inlineStr">
        <is>
          <t>2028E</t>
        </is>
      </c>
      <c r="J1" s="2" t="inlineStr">
        <is>
          <t>2029E</t>
        </is>
      </c>
      <c r="K1" s="2" t="inlineStr">
        <is>
          <t>2030E</t>
        </is>
      </c>
    </row>
    <row r="2">
      <c r="A2" t="inlineStr">
        <is>
          <t>Cash And Cash Equivalents</t>
        </is>
      </c>
      <c r="B2" t="n">
        <v/>
      </c>
      <c r="C2" s="6" t="n">
        <v>202502000</v>
      </c>
      <c r="D2" s="6" t="n">
        <v>397071000</v>
      </c>
      <c r="E2" s="6" t="n">
        <v>251491000</v>
      </c>
      <c r="F2" s="6" t="n">
        <v>194109000</v>
      </c>
      <c r="G2" s="8">
        <f>F2+'Cash Flow Statement'!G12</f>
        <v/>
      </c>
      <c r="H2" s="8">
        <f>G2+'Cash Flow Statement'!H12</f>
        <v/>
      </c>
      <c r="I2" s="8">
        <f>H2+'Cash Flow Statement'!I12</f>
        <v/>
      </c>
      <c r="J2" s="8">
        <f>I2+'Cash Flow Statement'!J12</f>
        <v/>
      </c>
      <c r="K2" s="8">
        <f>J2+'Cash Flow Statement'!K12</f>
        <v/>
      </c>
    </row>
    <row r="3">
      <c r="A3" t="inlineStr">
        <is>
          <t>Receivables</t>
        </is>
      </c>
      <c r="B3" t="n">
        <v/>
      </c>
      <c r="C3" s="6" t="n">
        <v>0</v>
      </c>
      <c r="D3" s="6" t="n">
        <v>2461000</v>
      </c>
      <c r="E3" s="6" t="n">
        <v>21635000</v>
      </c>
      <c r="F3" s="6" t="n">
        <v>27045000</v>
      </c>
      <c r="G3" s="8">
        <f>'Income Statement'!G2*G15</f>
        <v/>
      </c>
      <c r="H3" s="8">
        <f>'Income Statement'!H2*H15</f>
        <v/>
      </c>
      <c r="I3" s="8">
        <f>'Income Statement'!I2*I15</f>
        <v/>
      </c>
      <c r="J3" s="8">
        <f>'Income Statement'!J2*J15</f>
        <v/>
      </c>
      <c r="K3" s="8">
        <f>'Income Statement'!K2*K15</f>
        <v/>
      </c>
    </row>
    <row r="4">
      <c r="A4" t="inlineStr">
        <is>
          <t>Inventory</t>
        </is>
      </c>
      <c r="B4" t="n">
        <v/>
      </c>
      <c r="C4" s="6" t="n">
        <v>2709597000</v>
      </c>
      <c r="D4" s="6" t="n">
        <v>2645854000</v>
      </c>
      <c r="E4" s="6" t="n">
        <v>2840177000</v>
      </c>
      <c r="F4" s="6" t="n">
        <v>3084086000</v>
      </c>
      <c r="G4" s="8">
        <f>'Income Statement'!G3*G16</f>
        <v/>
      </c>
      <c r="H4" s="8">
        <f>'Income Statement'!H3*H16</f>
        <v/>
      </c>
      <c r="I4" s="8">
        <f>'Income Statement'!I3*I16</f>
        <v/>
      </c>
      <c r="J4" s="8">
        <f>'Income Statement'!J3*J16</f>
        <v/>
      </c>
      <c r="K4" s="8">
        <f>'Income Statement'!K3*K16</f>
        <v/>
      </c>
    </row>
    <row r="5">
      <c r="A5" t="inlineStr">
        <is>
          <t>Net PPE</t>
        </is>
      </c>
      <c r="B5" t="n">
        <v/>
      </c>
      <c r="C5" s="6" t="n">
        <v>5037417000</v>
      </c>
      <c r="D5" s="6" t="n">
        <v>5579155000</v>
      </c>
      <c r="E5" s="6" t="n">
        <v>6142880000</v>
      </c>
      <c r="F5" s="6" t="n">
        <v>6964971000</v>
      </c>
      <c r="G5" s="8">
        <f>F5-'Cash Flow Statement'!G6-'Cash Flow Statement'!G3</f>
        <v/>
      </c>
      <c r="H5" s="8">
        <f>G5-'Cash Flow Statement'!H6-'Cash Flow Statement'!H3</f>
        <v/>
      </c>
      <c r="I5" s="8">
        <f>H5-'Cash Flow Statement'!I6-'Cash Flow Statement'!I3</f>
        <v/>
      </c>
      <c r="J5" s="8">
        <f>I5-'Cash Flow Statement'!J6-'Cash Flow Statement'!J3</f>
        <v/>
      </c>
      <c r="K5" s="8">
        <f>J5-'Cash Flow Statement'!K6-'Cash Flow Statement'!K3</f>
        <v/>
      </c>
    </row>
    <row r="6">
      <c r="A6" t="inlineStr">
        <is>
          <t>Accounts Payable</t>
        </is>
      </c>
      <c r="B6" t="n">
        <v/>
      </c>
      <c r="C6" s="6" t="n">
        <v>1398288000</v>
      </c>
      <c r="D6" s="6" t="n">
        <v>1179803000</v>
      </c>
      <c r="E6" s="6" t="n">
        <v>1236177000</v>
      </c>
      <c r="F6" s="6" t="n">
        <v>1390833000</v>
      </c>
      <c r="G6" s="8">
        <f>'Income Statement'!G3*G17</f>
        <v/>
      </c>
      <c r="H6" s="8">
        <f>'Income Statement'!H3*H17</f>
        <v/>
      </c>
      <c r="I6" s="8">
        <f>'Income Statement'!I3*I17</f>
        <v/>
      </c>
      <c r="J6" s="8">
        <f>'Income Statement'!J3*J17</f>
        <v/>
      </c>
      <c r="K6" s="8">
        <f>'Income Statement'!K3*K17</f>
        <v/>
      </c>
    </row>
    <row r="7">
      <c r="A7" t="inlineStr">
        <is>
          <t>Current Accrued Expenses</t>
        </is>
      </c>
      <c r="B7" t="n">
        <v/>
      </c>
      <c r="C7" s="6" t="n">
        <v>498575000</v>
      </c>
      <c r="D7" s="6" t="n">
        <v>533029000</v>
      </c>
      <c r="E7" s="6" t="n">
        <v>581971000</v>
      </c>
      <c r="F7" s="6" t="n">
        <v>653482000</v>
      </c>
      <c r="G7" s="7">
        <f>F7</f>
        <v/>
      </c>
      <c r="H7" s="7">
        <f>G7</f>
        <v/>
      </c>
      <c r="I7" s="7">
        <f>H7</f>
        <v/>
      </c>
      <c r="J7" s="7">
        <f>I7</f>
        <v/>
      </c>
      <c r="K7" s="7">
        <f>J7</f>
        <v/>
      </c>
    </row>
    <row r="8">
      <c r="A8" t="inlineStr">
        <is>
          <t>Long Term Debt</t>
        </is>
      </c>
      <c r="B8" t="n">
        <v/>
      </c>
      <c r="C8" s="6" t="n">
        <v>1164100000</v>
      </c>
      <c r="D8" s="6" t="n">
        <v>1729000000</v>
      </c>
      <c r="E8" s="6" t="n">
        <v>1832000000</v>
      </c>
      <c r="F8" s="6" t="n">
        <v>1765000000</v>
      </c>
      <c r="G8" s="8">
        <f>'Debt Schedule'!G17</f>
        <v/>
      </c>
      <c r="H8" s="8">
        <f>'Debt Schedule'!H17</f>
        <v/>
      </c>
      <c r="I8" s="8">
        <f>'Debt Schedule'!I17</f>
        <v/>
      </c>
      <c r="J8" s="8">
        <f>'Debt Schedule'!J17</f>
        <v/>
      </c>
      <c r="K8" s="8">
        <f>'Debt Schedule'!K17</f>
        <v/>
      </c>
    </row>
    <row r="9">
      <c r="A9" t="inlineStr">
        <is>
          <t>Common Stock</t>
        </is>
      </c>
      <c r="B9" t="n">
        <v/>
      </c>
      <c r="C9" s="6" t="n">
        <v>1415000</v>
      </c>
      <c r="D9" s="6" t="n">
        <v>7093000</v>
      </c>
      <c r="E9" s="6" t="n">
        <v>7116000</v>
      </c>
      <c r="F9" s="6" t="n">
        <v>7128000</v>
      </c>
      <c r="G9" s="7">
        <f>F9</f>
        <v/>
      </c>
      <c r="H9" s="7">
        <f>G9</f>
        <v/>
      </c>
      <c r="I9" s="7">
        <f>H9</f>
        <v/>
      </c>
      <c r="J9" s="7">
        <f>I9</f>
        <v/>
      </c>
      <c r="K9" s="7">
        <f>J9</f>
        <v/>
      </c>
    </row>
    <row r="10">
      <c r="A10" t="inlineStr">
        <is>
          <t>Retained Earnings</t>
        </is>
      </c>
      <c r="B10" t="n">
        <v/>
      </c>
      <c r="C10" s="6" t="n">
        <v>5624352000</v>
      </c>
      <c r="D10" s="6" t="n">
        <v>6281959000</v>
      </c>
      <c r="E10" s="6" t="n">
        <v>6910707000</v>
      </c>
      <c r="F10" s="6" t="n">
        <v>7519125000</v>
      </c>
      <c r="G10" s="8">
        <f>F10+'Income Statement'!G9+'Cash Flow Statement'!G9</f>
        <v/>
      </c>
      <c r="H10" s="8">
        <f>G10+'Income Statement'!H9+'Cash Flow Statement'!H9</f>
        <v/>
      </c>
      <c r="I10" s="8">
        <f>H10+'Income Statement'!I9+'Cash Flow Statement'!I9</f>
        <v/>
      </c>
      <c r="J10" s="8">
        <f>I10+'Income Statement'!J9+'Cash Flow Statement'!J9</f>
        <v/>
      </c>
      <c r="K10" s="8">
        <f>J10+'Income Statement'!K9+'Cash Flow Statement'!K9</f>
        <v/>
      </c>
    </row>
    <row r="11">
      <c r="A11" t="inlineStr">
        <is>
          <t>Treasury Stock</t>
        </is>
      </c>
      <c r="B11" t="n">
        <v/>
      </c>
      <c r="C11" s="6" t="n">
        <v>4855909000</v>
      </c>
      <c r="D11" s="6" t="n">
        <v>5458855000</v>
      </c>
      <c r="E11" s="6" t="n">
        <v>6025238000</v>
      </c>
      <c r="F11" s="6" t="n">
        <v>6386229000</v>
      </c>
      <c r="G11" s="8">
        <f>F11-'Cash Flow Statement'!G10</f>
        <v/>
      </c>
      <c r="H11" s="8">
        <f>G11-'Cash Flow Statement'!H10</f>
        <v/>
      </c>
      <c r="I11" s="8">
        <f>H11-'Cash Flow Statement'!I10</f>
        <v/>
      </c>
      <c r="J11" s="8">
        <f>I11-'Cash Flow Statement'!J10</f>
        <v/>
      </c>
      <c r="K11" s="8">
        <f>J11-'Cash Flow Statement'!K10</f>
        <v/>
      </c>
    </row>
    <row r="12">
      <c r="A12" t="inlineStr">
        <is>
          <t>Other Net Historicals (Plug)</t>
        </is>
      </c>
      <c r="B12" s="7">
        <f>SUM(B2:B5)-(SUM(B6:B10)-B11)</f>
        <v/>
      </c>
      <c r="C12" s="7">
        <f>SUM(C2:C5)-(SUM(C6:C10)-C11)</f>
        <v/>
      </c>
      <c r="D12" s="7">
        <f>SUM(D2:D5)-(SUM(D6:D10)-D11)</f>
        <v/>
      </c>
      <c r="E12" s="7">
        <f>SUM(E2:E5)-(SUM(E6:E10)-E11)</f>
        <v/>
      </c>
      <c r="F12" s="7">
        <f>SUM(F2:F5)-(SUM(F6:F10)-F11)</f>
        <v/>
      </c>
      <c r="G12" s="7">
        <f>F12</f>
        <v/>
      </c>
      <c r="H12" s="7">
        <f>G12</f>
        <v/>
      </c>
      <c r="I12" s="7">
        <f>H12</f>
        <v/>
      </c>
      <c r="J12" s="7">
        <f>I12</f>
        <v/>
      </c>
      <c r="K12" s="7">
        <f>J12</f>
        <v/>
      </c>
    </row>
    <row r="14">
      <c r="A14" s="2" t="inlineStr">
        <is>
          <t>WORKING CAPITAL ASSUMPTIONS</t>
        </is>
      </c>
    </row>
    <row r="15">
      <c r="A15" t="inlineStr">
        <is>
          <t>Receivables (% of Revenue)</t>
        </is>
      </c>
      <c r="G15" s="6" t="n">
        <v>0.015</v>
      </c>
      <c r="H15" s="6" t="n">
        <v>0.015</v>
      </c>
      <c r="I15" s="6" t="n">
        <v>0.015</v>
      </c>
      <c r="J15" s="6" t="n">
        <v>0.015</v>
      </c>
      <c r="K15" s="6" t="n">
        <v>0.015</v>
      </c>
    </row>
    <row r="16">
      <c r="A16" t="inlineStr">
        <is>
          <t>Inventory (% of COGS)</t>
        </is>
      </c>
      <c r="G16" s="6" t="n">
        <v>0.25</v>
      </c>
      <c r="H16" s="6" t="n">
        <v>0.25</v>
      </c>
      <c r="I16" s="6" t="n">
        <v>0.25</v>
      </c>
      <c r="J16" s="6" t="n">
        <v>0.25</v>
      </c>
      <c r="K16" s="6" t="n">
        <v>0.25</v>
      </c>
    </row>
    <row r="17">
      <c r="A17" t="inlineStr">
        <is>
          <t>Payables (% of COGS)</t>
        </is>
      </c>
      <c r="G17" s="6" t="n">
        <v>0.12</v>
      </c>
      <c r="H17" s="6" t="n">
        <v>0.12</v>
      </c>
      <c r="I17" s="6" t="n">
        <v>0.12</v>
      </c>
      <c r="J17" s="6" t="n">
        <v>0.12</v>
      </c>
      <c r="K17" s="6" t="n">
        <v>0.12</v>
      </c>
    </row>
    <row r="20">
      <c r="A20" s="2" t="inlineStr">
        <is>
          <t>MODEL AUDIT CHECK</t>
        </is>
      </c>
      <c r="G20" s="5">
        <f>IF(ROUND(SUM(G2:G5)-(SUM(G6:G10)-G11+G12), 0)=0, "OK - BALANCED", "ERROR: " &amp; SUM(G2:G5)-(SUM(G6:G10)-G11+G12))</f>
        <v/>
      </c>
      <c r="H20" s="5">
        <f>IF(ROUND(SUM(H2:H5)-(SUM(H6:H10)-H11+H12), 0)=0, "OK - BALANCED", "ERROR: " &amp; SUM(H2:H5)-(SUM(H6:H10)-H11+H12))</f>
        <v/>
      </c>
      <c r="I20" s="5">
        <f>IF(ROUND(SUM(I2:I5)-(SUM(I6:I10)-I11+I12), 0)=0, "OK - BALANCED", "ERROR: " &amp; SUM(I2:I5)-(SUM(I6:I10)-I11+I12))</f>
        <v/>
      </c>
      <c r="J20" s="5">
        <f>IF(ROUND(SUM(J2:J5)-(SUM(J6:J10)-J11+J12), 0)=0, "OK - BALANCED", "ERROR: " &amp; SUM(J2:J5)-(SUM(J6:J10)-J11+J12))</f>
        <v/>
      </c>
      <c r="K20" s="5">
        <f>IF(ROUND(SUM(K2:K5)-(SUM(K6:K10)-K11+K12), 0)=0, "OK - BALANCED", "ERROR: " &amp; SUM(K2:K5)-(SUM(K6:K10)-K11+K12))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Line Item</t>
        </is>
      </c>
      <c r="B1" s="2" t="inlineStr">
        <is>
          <t>2021</t>
        </is>
      </c>
      <c r="C1" s="2" t="inlineStr">
        <is>
          <t>2022</t>
        </is>
      </c>
      <c r="D1" s="2" t="inlineStr">
        <is>
          <t>2023</t>
        </is>
      </c>
      <c r="E1" s="2" t="inlineStr">
        <is>
          <t>2024</t>
        </is>
      </c>
      <c r="F1" s="2" t="inlineStr">
        <is>
          <t>2025</t>
        </is>
      </c>
      <c r="G1" s="2" t="inlineStr">
        <is>
          <t>2026E</t>
        </is>
      </c>
      <c r="H1" s="2" t="inlineStr">
        <is>
          <t>2027E</t>
        </is>
      </c>
      <c r="I1" s="2" t="inlineStr">
        <is>
          <t>2028E</t>
        </is>
      </c>
      <c r="J1" s="2" t="inlineStr">
        <is>
          <t>2029E</t>
        </is>
      </c>
      <c r="K1" s="2" t="inlineStr">
        <is>
          <t>2030E</t>
        </is>
      </c>
    </row>
    <row r="2">
      <c r="A2" t="inlineStr">
        <is>
          <t>Net Income From Continuing Operations</t>
        </is>
      </c>
      <c r="B2" t="n">
        <v/>
      </c>
      <c r="C2" s="6" t="n">
        <v>1088712000</v>
      </c>
      <c r="D2" s="6" t="n">
        <v>1107226000</v>
      </c>
      <c r="E2" s="6" t="n">
        <v>1101240000</v>
      </c>
      <c r="F2" s="6" t="n">
        <v>1096087000</v>
      </c>
      <c r="G2" s="8">
        <f>'Income Statement'!G9</f>
        <v/>
      </c>
      <c r="H2" s="8">
        <f>'Income Statement'!H9</f>
        <v/>
      </c>
      <c r="I2" s="8">
        <f>'Income Statement'!I9</f>
        <v/>
      </c>
      <c r="J2" s="8">
        <f>'Income Statement'!J9</f>
        <v/>
      </c>
      <c r="K2" s="8">
        <f>'Income Statement'!K9</f>
        <v/>
      </c>
    </row>
    <row r="3">
      <c r="A3" t="inlineStr">
        <is>
          <t>Depreciation And Amortization</t>
        </is>
      </c>
      <c r="B3" t="n">
        <v/>
      </c>
      <c r="C3" s="6" t="n">
        <v>343062000</v>
      </c>
      <c r="D3" s="6" t="n">
        <v>393049000</v>
      </c>
      <c r="E3" s="6" t="n">
        <v>447162000</v>
      </c>
      <c r="F3" s="6" t="n">
        <v>494011000</v>
      </c>
      <c r="G3" s="8">
        <f>'Income Statement'!G2*G15</f>
        <v/>
      </c>
      <c r="H3" s="8">
        <f>'Income Statement'!H2*H15</f>
        <v/>
      </c>
      <c r="I3" s="8">
        <f>'Income Statement'!I2*I15</f>
        <v/>
      </c>
      <c r="J3" s="8">
        <f>'Income Statement'!J2*J15</f>
        <v/>
      </c>
      <c r="K3" s="8">
        <f>'Income Statement'!K2*K15</f>
        <v/>
      </c>
    </row>
    <row r="4">
      <c r="A4" t="inlineStr">
        <is>
          <t>Change In Working Capital</t>
        </is>
      </c>
      <c r="B4" t="n">
        <v/>
      </c>
      <c r="C4" s="6" t="n">
        <v>-182478000</v>
      </c>
      <c r="D4" s="6" t="n">
        <v>-181416000</v>
      </c>
      <c r="E4" s="6" t="n">
        <v>-90832000</v>
      </c>
      <c r="F4" s="6" t="n">
        <v>19889000</v>
      </c>
      <c r="G4" s="8">
        <f>('Balance Sheet'!F3-'Balance Sheet'!G3)+('Balance Sheet'!F4-'Balance Sheet'!G4)+('Balance Sheet'!G6-'Balance Sheet'!F6)</f>
        <v/>
      </c>
      <c r="H4" s="8">
        <f>('Balance Sheet'!G3-'Balance Sheet'!H3)+('Balance Sheet'!G4-'Balance Sheet'!H4)+('Balance Sheet'!H6-'Balance Sheet'!G6)</f>
        <v/>
      </c>
      <c r="I4" s="8">
        <f>('Balance Sheet'!H3-'Balance Sheet'!I3)+('Balance Sheet'!H4-'Balance Sheet'!I4)+('Balance Sheet'!I6-'Balance Sheet'!H6)</f>
        <v/>
      </c>
      <c r="J4" s="8">
        <f>('Balance Sheet'!I3-'Balance Sheet'!J3)+('Balance Sheet'!I4-'Balance Sheet'!J4)+('Balance Sheet'!J6-'Balance Sheet'!I6)</f>
        <v/>
      </c>
      <c r="K4" s="8">
        <f>('Balance Sheet'!J3-'Balance Sheet'!K3)+('Balance Sheet'!J4-'Balance Sheet'!K4)+('Balance Sheet'!K6-'Balance Sheet'!J6)</f>
        <v/>
      </c>
    </row>
    <row r="5">
      <c r="A5" t="inlineStr">
        <is>
          <t>Operating Cash Flow</t>
        </is>
      </c>
      <c r="B5" t="n">
        <v/>
      </c>
      <c r="C5" s="6" t="n">
        <v>1356979000</v>
      </c>
      <c r="D5" s="6" t="n">
        <v>1334033000</v>
      </c>
      <c r="E5" s="6" t="n">
        <v>1420835000</v>
      </c>
      <c r="F5" s="6" t="n">
        <v>1635259000</v>
      </c>
      <c r="G5" s="7">
        <f>SUM(G2:G4)</f>
        <v/>
      </c>
      <c r="H5" s="7">
        <f>SUM(H2:H4)</f>
        <v/>
      </c>
      <c r="I5" s="7">
        <f>SUM(I2:I4)</f>
        <v/>
      </c>
      <c r="J5" s="7">
        <f>SUM(J2:J4)</f>
        <v/>
      </c>
      <c r="K5" s="7">
        <f>SUM(K2:K4)</f>
        <v/>
      </c>
    </row>
    <row r="6">
      <c r="A6" t="inlineStr">
        <is>
          <t>Capital Expenditure</t>
        </is>
      </c>
      <c r="B6" t="n">
        <v/>
      </c>
      <c r="C6" s="6" t="n">
        <v>-773369000</v>
      </c>
      <c r="D6" s="6" t="n">
        <v>-753883000</v>
      </c>
      <c r="E6" s="6" t="n">
        <v>-784047000</v>
      </c>
      <c r="F6" s="6" t="n">
        <v>-894770000</v>
      </c>
      <c r="G6" s="8">
        <f>'Income Statement'!G2*G16</f>
        <v/>
      </c>
      <c r="H6" s="8">
        <f>'Income Statement'!H2*H16</f>
        <v/>
      </c>
      <c r="I6" s="8">
        <f>'Income Statement'!I2*I16</f>
        <v/>
      </c>
      <c r="J6" s="8">
        <f>'Income Statement'!J2*J16</f>
        <v/>
      </c>
      <c r="K6" s="8">
        <f>'Income Statement'!K2*K16</f>
        <v/>
      </c>
    </row>
    <row r="7">
      <c r="A7" t="inlineStr">
        <is>
          <t>Investing Cash Flow</t>
        </is>
      </c>
      <c r="B7" t="n">
        <v/>
      </c>
      <c r="C7" s="6" t="n">
        <v>-1093726000</v>
      </c>
      <c r="D7" s="6" t="n">
        <v>-653069000</v>
      </c>
      <c r="E7" s="6" t="n">
        <v>-643918000</v>
      </c>
      <c r="F7" s="6" t="n">
        <v>-778578000</v>
      </c>
      <c r="G7" s="7">
        <f>G6</f>
        <v/>
      </c>
      <c r="H7" s="7">
        <f>H6</f>
        <v/>
      </c>
      <c r="I7" s="7">
        <f>I6</f>
        <v/>
      </c>
      <c r="J7" s="7">
        <f>J6</f>
        <v/>
      </c>
      <c r="K7" s="7">
        <f>K6</f>
        <v/>
      </c>
    </row>
    <row r="8">
      <c r="A8" t="inlineStr">
        <is>
          <t>Repayment Of Debt</t>
        </is>
      </c>
      <c r="B8" t="n">
        <v/>
      </c>
      <c r="C8" s="6" t="n">
        <v>-836058000</v>
      </c>
      <c r="D8" s="6" t="n">
        <v>-1199808000</v>
      </c>
      <c r="E8" s="6" t="n">
        <v>-689787000</v>
      </c>
      <c r="F8" s="6" t="n">
        <v>-3197819000</v>
      </c>
      <c r="G8" s="8">
        <f>-('Debt Schedule'!G15+'Debt Schedule'!G16)</f>
        <v/>
      </c>
      <c r="H8" s="8">
        <f>-('Debt Schedule'!H15+'Debt Schedule'!H16)</f>
        <v/>
      </c>
      <c r="I8" s="8">
        <f>-('Debt Schedule'!I15+'Debt Schedule'!I16)</f>
        <v/>
      </c>
      <c r="J8" s="8">
        <f>-('Debt Schedule'!J15+'Debt Schedule'!J16)</f>
        <v/>
      </c>
      <c r="K8" s="8">
        <f>-('Debt Schedule'!K15+'Debt Schedule'!K16)</f>
        <v/>
      </c>
    </row>
    <row r="9">
      <c r="A9" t="inlineStr">
        <is>
          <t>Cash Dividends Paid</t>
        </is>
      </c>
      <c r="B9" t="n">
        <v/>
      </c>
      <c r="C9" s="6" t="n">
        <v>-409603000</v>
      </c>
      <c r="D9" s="6" t="n">
        <v>-449620000</v>
      </c>
      <c r="E9" s="6" t="n">
        <v>-472492000</v>
      </c>
      <c r="F9" s="6" t="n">
        <v>-487669000</v>
      </c>
      <c r="G9" s="6" t="n">
        <v>-500000000</v>
      </c>
      <c r="H9" s="6" t="n">
        <v>-500000000</v>
      </c>
      <c r="I9" s="6" t="n">
        <v>-500000000</v>
      </c>
      <c r="J9" s="6" t="n">
        <v>-500000000</v>
      </c>
      <c r="K9" s="6" t="n">
        <v>-500000000</v>
      </c>
    </row>
    <row r="10">
      <c r="A10" t="inlineStr">
        <is>
          <t>Repurchase Of Capital Stock</t>
        </is>
      </c>
      <c r="B10" t="n">
        <v/>
      </c>
      <c r="C10" s="6" t="n">
        <v>-728655000</v>
      </c>
      <c r="D10" s="6" t="n">
        <v>-618635000</v>
      </c>
      <c r="E10" s="6" t="n">
        <v>-584575000</v>
      </c>
      <c r="F10" s="6" t="n">
        <v>-377138000</v>
      </c>
      <c r="G10" s="6" t="n">
        <v>-600000000</v>
      </c>
      <c r="H10" s="6" t="n">
        <v>-600000000</v>
      </c>
      <c r="I10" s="6" t="n">
        <v>-600000000</v>
      </c>
      <c r="J10" s="6" t="n">
        <v>-600000000</v>
      </c>
      <c r="K10" s="6" t="n">
        <v>-600000000</v>
      </c>
    </row>
    <row r="11">
      <c r="A11" t="inlineStr">
        <is>
          <t>Financing Cash Flow</t>
        </is>
      </c>
      <c r="B11" t="n">
        <v/>
      </c>
      <c r="C11" s="6" t="n">
        <v>-938781000</v>
      </c>
      <c r="D11" s="6" t="n">
        <v>-486395000</v>
      </c>
      <c r="E11" s="6" t="n">
        <v>-922497000</v>
      </c>
      <c r="F11" s="6" t="n">
        <v>-914063000</v>
      </c>
      <c r="G11" s="7">
        <f>SUM(G8:G10)</f>
        <v/>
      </c>
      <c r="H11" s="7">
        <f>SUM(H8:H10)</f>
        <v/>
      </c>
      <c r="I11" s="7">
        <f>SUM(I8:I10)</f>
        <v/>
      </c>
      <c r="J11" s="7">
        <f>SUM(J8:J10)</f>
        <v/>
      </c>
      <c r="K11" s="7">
        <f>SUM(K8:K10)</f>
        <v/>
      </c>
    </row>
    <row r="12">
      <c r="A12" t="inlineStr">
        <is>
          <t>Changes In Cash</t>
        </is>
      </c>
      <c r="B12" t="n">
        <v/>
      </c>
      <c r="C12" s="6" t="n">
        <v>-675528000</v>
      </c>
      <c r="D12" s="6" t="n">
        <v>194569000</v>
      </c>
      <c r="E12" s="6" t="n">
        <v>-145580000</v>
      </c>
      <c r="F12" s="6" t="n">
        <v>-57382000</v>
      </c>
      <c r="G12" s="7">
        <f>G5+G7+G11</f>
        <v/>
      </c>
      <c r="H12" s="7">
        <f>H5+H7+H11</f>
        <v/>
      </c>
      <c r="I12" s="7">
        <f>I5+I7+I11</f>
        <v/>
      </c>
      <c r="J12" s="7">
        <f>J5+J7+J11</f>
        <v/>
      </c>
      <c r="K12" s="7">
        <f>K5+K7+K11</f>
        <v/>
      </c>
    </row>
    <row r="14">
      <c r="A14" s="2" t="inlineStr">
        <is>
          <t>CASH FLOW ASSUMPTIONS</t>
        </is>
      </c>
    </row>
    <row r="15">
      <c r="A15" t="inlineStr">
        <is>
          <t>D&amp;A (% of Revenue)</t>
        </is>
      </c>
      <c r="G15" s="6" t="n">
        <v>0.025</v>
      </c>
      <c r="H15" s="6" t="n">
        <v>0.025</v>
      </c>
      <c r="I15" s="6" t="n">
        <v>0.025</v>
      </c>
      <c r="J15" s="6" t="n">
        <v>0.025</v>
      </c>
      <c r="K15" s="6" t="n">
        <v>0.025</v>
      </c>
    </row>
    <row r="16">
      <c r="A16" t="inlineStr">
        <is>
          <t>CapEx (% of Revenue)</t>
        </is>
      </c>
      <c r="G16" s="6" t="n">
        <v>-0.04</v>
      </c>
      <c r="H16" s="6" t="n">
        <v>-0.04</v>
      </c>
      <c r="I16" s="6" t="n">
        <v>-0.04</v>
      </c>
      <c r="J16" s="6" t="n">
        <v>-0.04</v>
      </c>
      <c r="K16" s="6" t="n">
        <v>-0.04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DEBT SCHEDULE</t>
        </is>
      </c>
      <c r="G1" s="2" t="inlineStr">
        <is>
          <t>2026E</t>
        </is>
      </c>
      <c r="H1" s="2" t="inlineStr">
        <is>
          <t>2027E</t>
        </is>
      </c>
      <c r="I1" s="2" t="inlineStr">
        <is>
          <t>2028E</t>
        </is>
      </c>
      <c r="J1" s="2" t="inlineStr">
        <is>
          <t>2029E</t>
        </is>
      </c>
      <c r="K1" s="2" t="inlineStr">
        <is>
          <t>2030E</t>
        </is>
      </c>
    </row>
    <row r="2">
      <c r="A2" s="2" t="inlineStr">
        <is>
          <t>ASSUMPTIONS</t>
        </is>
      </c>
    </row>
    <row r="3">
      <c r="A3" t="inlineStr">
        <is>
          <t>Minimum Cash Balance</t>
        </is>
      </c>
      <c r="G3" s="6" t="n">
        <v>200000000</v>
      </c>
      <c r="H3" s="6" t="n">
        <v>200000000</v>
      </c>
      <c r="I3" s="6" t="n">
        <v>200000000</v>
      </c>
      <c r="J3" s="6" t="n">
        <v>200000000</v>
      </c>
      <c r="K3" s="6" t="n">
        <v>200000000</v>
      </c>
    </row>
    <row r="4">
      <c r="A4" t="inlineStr">
        <is>
          <t>Interest Rate on Debt</t>
        </is>
      </c>
      <c r="G4" s="6" t="n">
        <v>0.045</v>
      </c>
      <c r="H4" s="6" t="n">
        <v>0.045</v>
      </c>
      <c r="I4" s="6" t="n">
        <v>0.045</v>
      </c>
      <c r="J4" s="6" t="n">
        <v>0.045</v>
      </c>
      <c r="K4" s="6" t="n">
        <v>0.045</v>
      </c>
    </row>
    <row r="6">
      <c r="A6" s="2" t="inlineStr">
        <is>
          <t>CASH AVAILABLE FOR DEBT SERVICE (CADS)</t>
        </is>
      </c>
    </row>
    <row r="7">
      <c r="A7" t="inlineStr">
        <is>
          <t>Beginning Cash Balance</t>
        </is>
      </c>
      <c r="G7" s="8">
        <f>'Balance Sheet'!F2</f>
        <v/>
      </c>
      <c r="H7" s="8">
        <f>'Balance Sheet'!G2</f>
        <v/>
      </c>
      <c r="I7" s="8">
        <f>'Balance Sheet'!H2</f>
        <v/>
      </c>
      <c r="J7" s="8">
        <f>'Balance Sheet'!I2</f>
        <v/>
      </c>
      <c r="K7" s="8">
        <f>'Balance Sheet'!J2</f>
        <v/>
      </c>
    </row>
    <row r="8">
      <c r="A8" t="inlineStr">
        <is>
          <t>Operating Cash Flow</t>
        </is>
      </c>
      <c r="G8" s="8">
        <f>'Cash Flow Statement'!G5</f>
        <v/>
      </c>
      <c r="H8" s="8">
        <f>'Cash Flow Statement'!H5</f>
        <v/>
      </c>
      <c r="I8" s="8">
        <f>'Cash Flow Statement'!I5</f>
        <v/>
      </c>
      <c r="J8" s="8">
        <f>'Cash Flow Statement'!J5</f>
        <v/>
      </c>
      <c r="K8" s="8">
        <f>'Cash Flow Statement'!K5</f>
        <v/>
      </c>
    </row>
    <row r="9">
      <c r="A9" t="inlineStr">
        <is>
          <t>Investing Cash Flow</t>
        </is>
      </c>
      <c r="G9" s="8">
        <f>'Cash Flow Statement'!G7</f>
        <v/>
      </c>
      <c r="H9" s="8">
        <f>'Cash Flow Statement'!H7</f>
        <v/>
      </c>
      <c r="I9" s="8">
        <f>'Cash Flow Statement'!I7</f>
        <v/>
      </c>
      <c r="J9" s="8">
        <f>'Cash Flow Statement'!J7</f>
        <v/>
      </c>
      <c r="K9" s="8">
        <f>'Cash Flow Statement'!K7</f>
        <v/>
      </c>
    </row>
    <row r="10">
      <c r="A10" t="inlineStr">
        <is>
          <t>Dividends &amp; Repurchases</t>
        </is>
      </c>
      <c r="G10" s="8">
        <f>'Cash Flow Statement'!G9+'Cash Flow Statement'!G10</f>
        <v/>
      </c>
      <c r="H10" s="8">
        <f>'Cash Flow Statement'!H9+'Cash Flow Statement'!H10</f>
        <v/>
      </c>
      <c r="I10" s="8">
        <f>'Cash Flow Statement'!I9+'Cash Flow Statement'!I10</f>
        <v/>
      </c>
      <c r="J10" s="8">
        <f>'Cash Flow Statement'!J9+'Cash Flow Statement'!J10</f>
        <v/>
      </c>
      <c r="K10" s="8">
        <f>'Cash Flow Statement'!K9+'Cash Flow Statement'!K10</f>
        <v/>
      </c>
    </row>
    <row r="11">
      <c r="A11" t="inlineStr">
        <is>
          <t>CADS</t>
        </is>
      </c>
      <c r="G11" s="7">
        <f>SUM(G7:G10)</f>
        <v/>
      </c>
      <c r="H11" s="7">
        <f>SUM(H7:H10)</f>
        <v/>
      </c>
      <c r="I11" s="7">
        <f>SUM(I7:I10)</f>
        <v/>
      </c>
      <c r="J11" s="7">
        <f>SUM(J7:J10)</f>
        <v/>
      </c>
      <c r="K11" s="7">
        <f>SUM(K7:K10)</f>
        <v/>
      </c>
    </row>
    <row r="13">
      <c r="A13" s="2" t="inlineStr">
        <is>
          <t>LONG TERM DEBT ROLL-FORWARD</t>
        </is>
      </c>
    </row>
    <row r="14">
      <c r="A14" t="inlineStr">
        <is>
          <t>Beginning Debt Balance</t>
        </is>
      </c>
      <c r="G14" s="8">
        <f>'Balance Sheet'!F8</f>
        <v/>
      </c>
      <c r="H14" s="7">
        <f>G17</f>
        <v/>
      </c>
      <c r="I14" s="7">
        <f>H17</f>
        <v/>
      </c>
      <c r="J14" s="7">
        <f>I17</f>
        <v/>
      </c>
      <c r="K14" s="7">
        <f>J17</f>
        <v/>
      </c>
    </row>
    <row r="15">
      <c r="A15" t="inlineStr">
        <is>
          <t>Less: Mandatory Repayment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</row>
    <row r="16">
      <c r="A16" t="inlineStr">
        <is>
          <t>Less: Cash Sweep (Optional)</t>
        </is>
      </c>
      <c r="G16" s="7">
        <f>MIN(G14, MAX(0, G11-G3))</f>
        <v/>
      </c>
      <c r="H16" s="7">
        <f>MIN(H14, MAX(0, H11-H3))</f>
        <v/>
      </c>
      <c r="I16" s="7">
        <f>MIN(I14, MAX(0, I11-I3))</f>
        <v/>
      </c>
      <c r="J16" s="7">
        <f>MIN(J14, MAX(0, J11-J3))</f>
        <v/>
      </c>
      <c r="K16" s="7">
        <f>MIN(K14, MAX(0, K11-K3))</f>
        <v/>
      </c>
    </row>
    <row r="17">
      <c r="A17" t="inlineStr">
        <is>
          <t>Ending Debt Balance</t>
        </is>
      </c>
      <c r="G17" s="7">
        <f>G14-G15-G16</f>
        <v/>
      </c>
      <c r="H17" s="7">
        <f>H14-H15-H16</f>
        <v/>
      </c>
      <c r="I17" s="7">
        <f>I14-I15-I16</f>
        <v/>
      </c>
      <c r="J17" s="7">
        <f>J14-J15-J16</f>
        <v/>
      </c>
      <c r="K17" s="7">
        <f>K14-K15-K16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DISCOUNTED CASH FLOW VALUATION</t>
        </is>
      </c>
      <c r="G1" s="2" t="inlineStr">
        <is>
          <t>2026E</t>
        </is>
      </c>
      <c r="H1" s="2" t="inlineStr">
        <is>
          <t>2027E</t>
        </is>
      </c>
      <c r="I1" s="2" t="inlineStr">
        <is>
          <t>2028E</t>
        </is>
      </c>
      <c r="J1" s="2" t="inlineStr">
        <is>
          <t>2029E</t>
        </is>
      </c>
      <c r="K1" s="2" t="inlineStr">
        <is>
          <t>2030E</t>
        </is>
      </c>
    </row>
    <row r="3">
      <c r="A3" s="2" t="inlineStr">
        <is>
          <t>WACC DERIVATION (CAPM)</t>
        </is>
      </c>
    </row>
    <row r="4">
      <c r="A4" t="inlineStr">
        <is>
          <t>Risk Free Rate (10-Yr Treasury)</t>
        </is>
      </c>
      <c r="G4" s="6" t="n">
        <v>0.05041999816894531</v>
      </c>
    </row>
    <row r="5">
      <c r="A5" t="inlineStr">
        <is>
          <t>Company Beta (Damodaran Industry Proxy)</t>
        </is>
      </c>
      <c r="G5" s="6" t="n">
        <v>1.05</v>
      </c>
    </row>
    <row r="6">
      <c r="A6" t="inlineStr">
        <is>
          <t>Equity Risk Premium</t>
        </is>
      </c>
      <c r="G6" s="6" t="n">
        <v>0.055</v>
      </c>
    </row>
    <row r="7">
      <c r="A7" t="inlineStr">
        <is>
          <t>Cost of Equity (Ke)</t>
        </is>
      </c>
      <c r="G7" s="7">
        <f>G4+(G5*G6)</f>
        <v/>
      </c>
    </row>
    <row r="8">
      <c r="A8" t="inlineStr">
        <is>
          <t>After-Tax Cost of Debt (Kd)</t>
        </is>
      </c>
      <c r="G8" s="8">
        <f>'Debt Schedule'!G4*(1-'Income Statement'!G15)</f>
        <v/>
      </c>
    </row>
    <row r="9">
      <c r="A9" t="inlineStr">
        <is>
          <t>Current Share Price (Live)</t>
        </is>
      </c>
      <c r="G9" s="6" t="n">
        <v>31.21999931335449</v>
      </c>
    </row>
    <row r="10">
      <c r="A10" t="inlineStr">
        <is>
          <t>Shares Outstanding (Raw)</t>
        </is>
      </c>
      <c r="G10" s="6" t="n">
        <v>521040137</v>
      </c>
    </row>
    <row r="11">
      <c r="A11" t="inlineStr">
        <is>
          <t>Market Value of Equity (E)</t>
        </is>
      </c>
      <c r="G11" s="7">
        <f>G9*G10</f>
        <v/>
      </c>
    </row>
    <row r="12">
      <c r="A12" t="inlineStr">
        <is>
          <t>Market Value of Debt (D)</t>
        </is>
      </c>
      <c r="G12" s="8">
        <f>'Balance Sheet'!F8</f>
        <v/>
      </c>
    </row>
    <row r="13">
      <c r="A13" t="inlineStr">
        <is>
          <t>Total Capital (V)</t>
        </is>
      </c>
      <c r="G13" s="7">
        <f>G11+G12</f>
        <v/>
      </c>
    </row>
    <row r="14">
      <c r="A14" t="inlineStr">
        <is>
          <t>Weight of Equity (E/V)</t>
        </is>
      </c>
      <c r="G14" s="7">
        <f>G11/G13</f>
        <v/>
      </c>
    </row>
    <row r="15">
      <c r="A15" t="inlineStr">
        <is>
          <t>Weight of Debt (D/V)</t>
        </is>
      </c>
      <c r="G15" s="7">
        <f>G12/G13</f>
        <v/>
      </c>
    </row>
    <row r="16">
      <c r="A16" s="2" t="inlineStr">
        <is>
          <t>Calculated WACC</t>
        </is>
      </c>
      <c r="G16" s="9">
        <f>(G14*G7)+(G15*G8)</f>
        <v/>
      </c>
    </row>
    <row r="17">
      <c r="A17" t="inlineStr">
        <is>
          <t>Terminal Growth Rate</t>
        </is>
      </c>
      <c r="G17" s="6" t="n">
        <v>0.02</v>
      </c>
    </row>
    <row r="18">
      <c r="A18" t="inlineStr">
        <is>
          <t>Exit Multiple (EV/EBITDA)</t>
        </is>
      </c>
      <c r="G18" s="6" t="n">
        <v>14</v>
      </c>
    </row>
    <row r="19">
      <c r="A19" t="inlineStr">
        <is>
          <t>Discount Period</t>
        </is>
      </c>
      <c r="G19" s="6" t="n">
        <v>1</v>
      </c>
      <c r="H19" s="6" t="n">
        <v>2</v>
      </c>
      <c r="I19" s="6" t="n">
        <v>3</v>
      </c>
      <c r="J19" s="6" t="n">
        <v>4</v>
      </c>
      <c r="K19" s="6" t="n">
        <v>5</v>
      </c>
    </row>
    <row r="21">
      <c r="A21" s="2" t="inlineStr">
        <is>
          <t>UNLEVERED FREE CASH FLOW</t>
        </is>
      </c>
    </row>
    <row r="22">
      <c r="A22" t="inlineStr">
        <is>
          <t>EBIT</t>
        </is>
      </c>
      <c r="G22" s="8">
        <f>'Income Statement'!G6</f>
        <v/>
      </c>
      <c r="H22" s="8">
        <f>'Income Statement'!H6</f>
        <v/>
      </c>
      <c r="I22" s="8">
        <f>'Income Statement'!I6</f>
        <v/>
      </c>
      <c r="J22" s="8">
        <f>'Income Statement'!J6</f>
        <v/>
      </c>
      <c r="K22" s="8">
        <f>'Income Statement'!K6</f>
        <v/>
      </c>
    </row>
    <row r="23">
      <c r="A23" t="inlineStr">
        <is>
          <t>Less: Taxes on EBIT</t>
        </is>
      </c>
      <c r="G23" s="8">
        <f>G22*'Income Statement'!G15</f>
        <v/>
      </c>
      <c r="H23" s="8">
        <f>H22*'Income Statement'!H15</f>
        <v/>
      </c>
      <c r="I23" s="8">
        <f>I22*'Income Statement'!I15</f>
        <v/>
      </c>
      <c r="J23" s="8">
        <f>J22*'Income Statement'!J15</f>
        <v/>
      </c>
      <c r="K23" s="8">
        <f>K22*'Income Statement'!K15</f>
        <v/>
      </c>
    </row>
    <row r="24">
      <c r="A24" t="inlineStr">
        <is>
          <t>Net Operating Profit After Tax (NOPAT)</t>
        </is>
      </c>
      <c r="G24" s="7">
        <f>G22-G23</f>
        <v/>
      </c>
      <c r="H24" s="7">
        <f>H22-H23</f>
        <v/>
      </c>
      <c r="I24" s="7">
        <f>I22-I23</f>
        <v/>
      </c>
      <c r="J24" s="7">
        <f>J22-J23</f>
        <v/>
      </c>
      <c r="K24" s="7">
        <f>K22-K23</f>
        <v/>
      </c>
    </row>
    <row r="25">
      <c r="A25" t="inlineStr">
        <is>
          <t>Plus: D&amp;A</t>
        </is>
      </c>
      <c r="G25" s="8">
        <f>'Cash Flow Statement'!G3</f>
        <v/>
      </c>
      <c r="H25" s="8">
        <f>'Cash Flow Statement'!H3</f>
        <v/>
      </c>
      <c r="I25" s="8">
        <f>'Cash Flow Statement'!I3</f>
        <v/>
      </c>
      <c r="J25" s="8">
        <f>'Cash Flow Statement'!J3</f>
        <v/>
      </c>
      <c r="K25" s="8">
        <f>'Cash Flow Statement'!K3</f>
        <v/>
      </c>
    </row>
    <row r="26">
      <c r="A26" t="inlineStr">
        <is>
          <t>Less: Capital Expenditures</t>
        </is>
      </c>
      <c r="G26" s="8">
        <f>'Cash Flow Statement'!G6</f>
        <v/>
      </c>
      <c r="H26" s="8">
        <f>'Cash Flow Statement'!H6</f>
        <v/>
      </c>
      <c r="I26" s="8">
        <f>'Cash Flow Statement'!I6</f>
        <v/>
      </c>
      <c r="J26" s="8">
        <f>'Cash Flow Statement'!J6</f>
        <v/>
      </c>
      <c r="K26" s="8">
        <f>'Cash Flow Statement'!K6</f>
        <v/>
      </c>
    </row>
    <row r="27">
      <c r="A27" t="inlineStr">
        <is>
          <t>Less: Change in Working Capital</t>
        </is>
      </c>
      <c r="G27" s="8">
        <f>'Cash Flow Statement'!G4</f>
        <v/>
      </c>
      <c r="H27" s="8">
        <f>'Cash Flow Statement'!H4</f>
        <v/>
      </c>
      <c r="I27" s="8">
        <f>'Cash Flow Statement'!I4</f>
        <v/>
      </c>
      <c r="J27" s="8">
        <f>'Cash Flow Statement'!J4</f>
        <v/>
      </c>
      <c r="K27" s="8">
        <f>'Cash Flow Statement'!K4</f>
        <v/>
      </c>
    </row>
    <row r="28">
      <c r="A28" t="inlineStr">
        <is>
          <t>Unlevered Free Cash Flow (UFCF)</t>
        </is>
      </c>
      <c r="G28" s="7">
        <f>G24+G25+G26+G27</f>
        <v/>
      </c>
      <c r="H28" s="7">
        <f>H24+H25+H26+H27</f>
        <v/>
      </c>
      <c r="I28" s="7">
        <f>I24+I25+I26+I27</f>
        <v/>
      </c>
      <c r="J28" s="7">
        <f>J24+J25+J26+J27</f>
        <v/>
      </c>
      <c r="K28" s="7">
        <f>K24+K25+K26+K27</f>
        <v/>
      </c>
    </row>
    <row r="30">
      <c r="A30" s="2" t="inlineStr">
        <is>
          <t>PRESENT VALUE OF CASH FLOWS</t>
        </is>
      </c>
    </row>
    <row r="31">
      <c r="A31" t="inlineStr">
        <is>
          <t>Discount Factor</t>
        </is>
      </c>
      <c r="G31" s="7">
        <f>(1+$G$16)^G19</f>
        <v/>
      </c>
      <c r="H31" s="7">
        <f>(1+$G$16)^H19</f>
        <v/>
      </c>
      <c r="I31" s="7">
        <f>(1+$G$16)^I19</f>
        <v/>
      </c>
      <c r="J31" s="7">
        <f>(1+$G$16)^J19</f>
        <v/>
      </c>
      <c r="K31" s="7">
        <f>(1+$G$16)^K19</f>
        <v/>
      </c>
    </row>
    <row r="32">
      <c r="A32" t="inlineStr">
        <is>
          <t>Present Value of UFCF</t>
        </is>
      </c>
      <c r="G32" s="7">
        <f>G28/G31</f>
        <v/>
      </c>
      <c r="H32" s="7">
        <f>H28/H31</f>
        <v/>
      </c>
      <c r="I32" s="7">
        <f>I28/I31</f>
        <v/>
      </c>
      <c r="J32" s="7">
        <f>J28/J31</f>
        <v/>
      </c>
      <c r="K32" s="7">
        <f>K28/K31</f>
        <v/>
      </c>
    </row>
    <row r="34">
      <c r="A34" s="2" t="inlineStr">
        <is>
          <t>TERMINAL VALUE - GORDON GROWTH</t>
        </is>
      </c>
    </row>
    <row r="35">
      <c r="A35" t="inlineStr">
        <is>
          <t>Terminal Value</t>
        </is>
      </c>
      <c r="C35" s="7">
        <f>(K28*(1+G17))/(G16-G17)</f>
        <v/>
      </c>
    </row>
    <row r="36">
      <c r="A36" t="inlineStr">
        <is>
          <t>PV of Terminal Value</t>
        </is>
      </c>
      <c r="C36" s="7">
        <f>C35/K31</f>
        <v/>
      </c>
    </row>
    <row r="37">
      <c r="A37" t="inlineStr">
        <is>
          <t>PV of Stage 1 Cash Flows</t>
        </is>
      </c>
      <c r="C37" s="7">
        <f>SUM(G32:K32)</f>
        <v/>
      </c>
    </row>
    <row r="38">
      <c r="A38" t="inlineStr">
        <is>
          <t>Enterprise Value</t>
        </is>
      </c>
      <c r="C38" s="7">
        <f>C36+C37</f>
        <v/>
      </c>
    </row>
    <row r="39">
      <c r="A39" t="inlineStr">
        <is>
          <t>Plus: Current Cash</t>
        </is>
      </c>
      <c r="C39" s="8">
        <f>'Balance Sheet'!F2</f>
        <v/>
      </c>
    </row>
    <row r="40">
      <c r="A40" t="inlineStr">
        <is>
          <t>Less: Current Debt</t>
        </is>
      </c>
      <c r="C40" s="8">
        <f>'Balance Sheet'!F8</f>
        <v/>
      </c>
    </row>
    <row r="41">
      <c r="A41" t="inlineStr">
        <is>
          <t>Equity Value</t>
        </is>
      </c>
      <c r="C41" s="7">
        <f>C38+C39-C40</f>
        <v/>
      </c>
    </row>
    <row r="42">
      <c r="A42" s="2" t="inlineStr">
        <is>
          <t>Implied Price (Perpetuity Method)</t>
        </is>
      </c>
      <c r="C42" s="2">
        <f>C41/G10</f>
        <v/>
      </c>
    </row>
    <row r="44">
      <c r="A44" s="2" t="inlineStr">
        <is>
          <t>TERMINAL VALUE - EXIT MULTIPLE</t>
        </is>
      </c>
    </row>
    <row r="45">
      <c r="A45" t="inlineStr">
        <is>
          <t>Final Year EBITDA</t>
        </is>
      </c>
      <c r="C45" s="7">
        <f>K22+K25</f>
        <v/>
      </c>
    </row>
    <row r="46">
      <c r="A46" t="inlineStr">
        <is>
          <t>Terminal Value</t>
        </is>
      </c>
      <c r="C46" s="7">
        <f>C45*G18</f>
        <v/>
      </c>
    </row>
    <row r="47">
      <c r="A47" t="inlineStr">
        <is>
          <t>PV of Terminal Value</t>
        </is>
      </c>
      <c r="C47" s="7">
        <f>C46/K31</f>
        <v/>
      </c>
    </row>
    <row r="48">
      <c r="A48" t="inlineStr">
        <is>
          <t>Enterprise Value</t>
        </is>
      </c>
      <c r="C48" s="7">
        <f>C37+C47</f>
        <v/>
      </c>
    </row>
    <row r="49">
      <c r="A49" t="inlineStr">
        <is>
          <t>Plus: Current Cash</t>
        </is>
      </c>
      <c r="C49" s="7">
        <f>C39</f>
        <v/>
      </c>
    </row>
    <row r="50">
      <c r="A50" t="inlineStr">
        <is>
          <t>Less: Current Debt</t>
        </is>
      </c>
      <c r="C50" s="7">
        <f>C40</f>
        <v/>
      </c>
    </row>
    <row r="51">
      <c r="A51" t="inlineStr">
        <is>
          <t>Equity Value</t>
        </is>
      </c>
      <c r="C51" s="7">
        <f>C48+C49-C50</f>
        <v/>
      </c>
    </row>
    <row r="52">
      <c r="A52" s="2" t="inlineStr">
        <is>
          <t>Implied Price (Multiple Method)</t>
        </is>
      </c>
      <c r="C52" s="2">
        <f>C51/G10</f>
        <v/>
      </c>
    </row>
    <row r="54">
      <c r="A54" s="2" t="inlineStr">
        <is>
          <t>BLENDED TARGET PRICE (50/50)</t>
        </is>
      </c>
    </row>
    <row r="55">
      <c r="C55" s="10">
        <f>AVERAGE(C42, C52)</f>
        <v/>
      </c>
    </row>
    <row r="58">
      <c r="A58" s="2" t="inlineStr">
        <is>
          <t>SENSITIVITY ANALYSIS: WACC vs. TGR</t>
        </is>
      </c>
    </row>
    <row r="59">
      <c r="B59" t="inlineStr">
        <is>
          <t>WACC \ TGR</t>
        </is>
      </c>
      <c r="C59" s="2">
        <f>$G$16+-0.01</f>
        <v/>
      </c>
      <c r="D59" s="2">
        <f>$G$16+-0.005</f>
        <v/>
      </c>
      <c r="E59" s="2">
        <f>$G$16+0</f>
        <v/>
      </c>
      <c r="F59" s="2">
        <f>$G$16+0.005</f>
        <v/>
      </c>
      <c r="G59" s="2">
        <f>$G$16+0.01</f>
        <v/>
      </c>
    </row>
    <row r="60">
      <c r="B60" s="2">
        <f>$G$17+-0.005</f>
        <v/>
      </c>
      <c r="C60" s="11">
        <f>($C$37 + ((K$28*(1+$B60))/(C$59-$B60))/(1+C$59)^5 + $C$39 - $C$40)/$G$10</f>
        <v/>
      </c>
      <c r="D60" s="11">
        <f>($C$37 + ((K$28*(1+$B60))/(D$59-$B60))/(1+D$59)^5 + $C$39 - $C$40)/$G$10</f>
        <v/>
      </c>
      <c r="E60" s="11">
        <f>($C$37 + ((K$28*(1+$B60))/(E$59-$B60))/(1+E$59)^5 + $C$39 - $C$40)/$G$10</f>
        <v/>
      </c>
      <c r="F60" s="11">
        <f>($C$37 + ((K$28*(1+$B60))/(F$59-$B60))/(1+F$59)^5 + $C$39 - $C$40)/$G$10</f>
        <v/>
      </c>
      <c r="G60" s="11">
        <f>($C$37 + ((K$28*(1+$B60))/(G$59-$B60))/(1+G$59)^5 + $C$39 - $C$40)/$G$10</f>
        <v/>
      </c>
    </row>
    <row r="61">
      <c r="B61" s="2">
        <f>$G$17+-0.0025</f>
        <v/>
      </c>
      <c r="C61" s="11">
        <f>($C$37 + ((K$28*(1+$B61))/(C$59-$B61))/(1+C$59)^5 + $C$39 - $C$40)/$G$10</f>
        <v/>
      </c>
      <c r="D61" s="11">
        <f>($C$37 + ((K$28*(1+$B61))/(D$59-$B61))/(1+D$59)^5 + $C$39 - $C$40)/$G$10</f>
        <v/>
      </c>
      <c r="E61" s="11">
        <f>($C$37 + ((K$28*(1+$B61))/(E$59-$B61))/(1+E$59)^5 + $C$39 - $C$40)/$G$10</f>
        <v/>
      </c>
      <c r="F61" s="11">
        <f>($C$37 + ((K$28*(1+$B61))/(F$59-$B61))/(1+F$59)^5 + $C$39 - $C$40)/$G$10</f>
        <v/>
      </c>
      <c r="G61" s="11">
        <f>($C$37 + ((K$28*(1+$B61))/(G$59-$B61))/(1+G$59)^5 + $C$39 - $C$40)/$G$10</f>
        <v/>
      </c>
    </row>
    <row r="62">
      <c r="B62" s="2">
        <f>$G$17+0</f>
        <v/>
      </c>
      <c r="C62" s="11">
        <f>($C$37 + ((K$28*(1+$B62))/(C$59-$B62))/(1+C$59)^5 + $C$39 - $C$40)/$G$10</f>
        <v/>
      </c>
      <c r="D62" s="11">
        <f>($C$37 + ((K$28*(1+$B62))/(D$59-$B62))/(1+D$59)^5 + $C$39 - $C$40)/$G$10</f>
        <v/>
      </c>
      <c r="E62" s="11">
        <f>($C$37 + ((K$28*(1+$B62))/(E$59-$B62))/(1+E$59)^5 + $C$39 - $C$40)/$G$10</f>
        <v/>
      </c>
      <c r="F62" s="11">
        <f>($C$37 + ((K$28*(1+$B62))/(F$59-$B62))/(1+F$59)^5 + $C$39 - $C$40)/$G$10</f>
        <v/>
      </c>
      <c r="G62" s="11">
        <f>($C$37 + ((K$28*(1+$B62))/(G$59-$B62))/(1+G$59)^5 + $C$39 - $C$40)/$G$10</f>
        <v/>
      </c>
    </row>
    <row r="63">
      <c r="B63" s="2">
        <f>$G$17+0.0025</f>
        <v/>
      </c>
      <c r="C63" s="11">
        <f>($C$37 + ((K$28*(1+$B63))/(C$59-$B63))/(1+C$59)^5 + $C$39 - $C$40)/$G$10</f>
        <v/>
      </c>
      <c r="D63" s="11">
        <f>($C$37 + ((K$28*(1+$B63))/(D$59-$B63))/(1+D$59)^5 + $C$39 - $C$40)/$G$10</f>
        <v/>
      </c>
      <c r="E63" s="11">
        <f>($C$37 + ((K$28*(1+$B63))/(E$59-$B63))/(1+E$59)^5 + $C$39 - $C$40)/$G$10</f>
        <v/>
      </c>
      <c r="F63" s="11">
        <f>($C$37 + ((K$28*(1+$B63))/(F$59-$B63))/(1+F$59)^5 + $C$39 - $C$40)/$G$10</f>
        <v/>
      </c>
      <c r="G63" s="11">
        <f>($C$37 + ((K$28*(1+$B63))/(G$59-$B63))/(1+G$59)^5 + $C$39 - $C$40)/$G$10</f>
        <v/>
      </c>
    </row>
    <row r="64">
      <c r="B64" s="2">
        <f>$G$17+0.005</f>
        <v/>
      </c>
      <c r="C64" s="11">
        <f>($C$37 + ((K$28*(1+$B64))/(C$59-$B64))/(1+C$59)^5 + $C$39 - $C$40)/$G$10</f>
        <v/>
      </c>
      <c r="D64" s="11">
        <f>($C$37 + ((K$28*(1+$B64))/(D$59-$B64))/(1+D$59)^5 + $C$39 - $C$40)/$G$10</f>
        <v/>
      </c>
      <c r="E64" s="11">
        <f>($C$37 + ((K$28*(1+$B64))/(E$59-$B64))/(1+E$59)^5 + $C$39 - $C$40)/$G$10</f>
        <v/>
      </c>
      <c r="F64" s="11">
        <f>($C$37 + ((K$28*(1+$B64))/(F$59-$B64))/(1+F$59)^5 + $C$39 - $C$40)/$G$10</f>
        <v/>
      </c>
      <c r="G64" s="11">
        <f>($C$37 + ((K$28*(1+$B64))/(G$59-$B64))/(1+G$59)^5 + $C$39 - $C$40)/$G$10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2026-10-22T13:59:34Z</dcterms:created>
  <dcterms:modified xmlns:dcterms="http://purl.org/dc/terms/" xmlns:xsi="http://www.w3.org/2001/XMLSchema-instance" xsi:type="dcterms:W3CDTF">2026-10-22T13:59:34Z</dcterms:modified>
</cp:coreProperties>
</file>